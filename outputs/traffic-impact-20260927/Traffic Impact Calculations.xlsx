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b88be1f57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ffic analysis" sheetId="1" r:id="R5cb9676bc75b4199"/>
    <x:sheet xmlns:r="http://schemas.openxmlformats.org/officeDocument/2006/relationships" name="SW added lane" sheetId="2" r:id="R9d9f6aeaa7db4fda"/>
    <x:sheet xmlns:r="http://schemas.openxmlformats.org/officeDocument/2006/relationships" name="Inputs" sheetId="3" r:id="R91e6a61036d3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#,##0"/>
    <x:numFmt numFmtId="202" formatCode="0%"/>
    <x:numFmt numFmtId="203" formatCode="+#,##0;-#,##0;0"/>
    <x:numFmt numFmtId="204" formatCode="$#,##0"/>
    <x:numFmt numFmtId="205" formatCode="0"/>
    <x:numFmt numFmtId="206" formatCode="0.000000"/>
  </x:numFmts>
  <x:fonts count="7">
    <x:font>
      <x:sz val="11"/>
      <x:name val="Carlito"/>
    </x:font>
    <x:font>
      <x:sz val="10"/>
      <x:color rgb="FF202B36"/>
      <x:name val="Arial"/>
    </x:font>
    <x:font>
      <x:b/>
      <x:sz val="15"/>
      <x:color rgb="FF000000"/>
      <x:name val="Arial"/>
    </x:font>
    <x:font>
      <x:b/>
      <x:sz val="11"/>
      <x:color rgb="FF202B36"/>
      <x:name val="Arial"/>
    </x:font>
    <x:font>
      <x:b/>
      <x:sz val="10"/>
      <x:color rgb="FFFFFFFF"/>
      <x:name val="Arial"/>
    </x:font>
    <x:font>
      <x:b/>
      <x:sz val="10"/>
      <x:color rgb="FF202B36"/>
      <x:name val="Arial"/>
    </x:font>
    <x:font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6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2aa0db24c4350" /><Relationship Type="http://schemas.openxmlformats.org/officeDocument/2006/relationships/theme" Target="/xl/theme/theme1.xml" Id="Readf23a92cb54a6c" /><Relationship Type="http://schemas.openxmlformats.org/officeDocument/2006/relationships/sharedStrings" Target="/xl/sharedStrings.xml" Id="Rddf4d67e524a46be" /><Relationship Type="http://schemas.openxmlformats.org/officeDocument/2006/relationships/worksheet" Target="/xl/worksheets/sheet1.xml" Id="R5cb9676bc75b4199" /><Relationship Type="http://schemas.openxmlformats.org/officeDocument/2006/relationships/worksheet" Target="/xl/worksheets/sheet2.xml" Id="R9d9f6aeaa7db4fda" /><Relationship Type="http://schemas.openxmlformats.org/officeDocument/2006/relationships/worksheet" Target="/xl/worksheets/sheet3.xml" Id="R91e6a61036d34c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E5A"/>
  </x:sheetPr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8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4" t="str">
        <x:v>Office development traffic impact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3" t="str">
        <x:v>Demand and total flow are vehicles/hour; speed is mph. Rounded demand/lane selects Appendix A.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8" customHeight="1">
      <x:c r="A5" s="5" t="str">
        <x:v>Q4 Updated Appendix B after development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43" customHeight="1">
      <x:c r="A6" s="9" t="str">
        <x:v>Highway</x:v>
      </x:c>
      <x:c r="B6" s="9" t="str">
        <x:v>Period</x:v>
      </x:c>
      <x:c r="C6" s="9" t="str">
        <x:v>Lanes</x:v>
      </x:c>
      <x:c r="D6" s="9" t="str">
        <x:v>Existing demand</x:v>
      </x:c>
      <x:c r="E6" s="9" t="str">
        <x:v>New trips</x:v>
      </x:c>
      <x:c r="F6" s="9" t="str">
        <x:v>Total demand</x:v>
      </x:c>
      <x:c r="G6" s="9" t="str">
        <x:v>Demand / lane</x:v>
      </x:c>
      <x:c r="H6" s="9" t="str">
        <x:v>Rounded demand / lane</x:v>
      </x:c>
      <x:c r="I6" s="9" t="str">
        <x:v>Flow / lane</x:v>
      </x:c>
      <x:c r="J6" s="9" t="str">
        <x:v>Total flow</x:v>
      </x:c>
      <x:c r="K6" s="9" t="str">
        <x:v>Speed</x:v>
      </x:c>
      <x:c r="L6" s="9" t="str">
        <x:v>LOS</x:v>
      </x:c>
    </x:row>
    <x:row r="7" ht="24" customHeight="1">
      <x:c r="A7" s="12" t="str">
        <x:v>NE</x:v>
      </x:c>
      <x:c r="B7" s="12" t="str">
        <x:v>AM</x:v>
      </x:c>
      <x:c r="C7" s="11" t="n">
        <x:f>C21</x:f>
        <x:v>6</x:v>
      </x:c>
      <x:c r="D7" s="11" t="n">
        <x:f>H21</x:f>
        <x:v>10800</x:v>
      </x:c>
      <x:c r="E7" s="12" t="n">
        <x:f>D33</x:f>
        <x:v>353.21999999999997</x:v>
      </x:c>
      <x:c r="F7" s="12" t="n">
        <x:f>D7+E7</x:f>
        <x:v>11153.22</x:v>
      </x:c>
      <x:c r="G7" s="12" t="n">
        <x:f>F7/C7</x:f>
        <x:v>1858.87</x:v>
      </x:c>
      <x:c r="H7" s="11" t="n">
        <x:f>ROUND(G7,-2)</x:f>
        <x:v>1900</x:v>
      </x:c>
      <x:c r="I7" s="11" t="n">
        <x:f>VLOOKUP(H7,Inputs!$A$7:$D$27,2,FALSE)</x:f>
        <x:v>1900</x:v>
      </x:c>
      <x:c r="J7" s="11" t="n">
        <x:f>I7*C7</x:f>
        <x:v>11400</x:v>
      </x:c>
      <x:c r="K7" s="11" t="n">
        <x:f>VLOOKUP(H7,Inputs!$A$7:$D$27,3,FALSE)</x:f>
        <x:v>51</x:v>
      </x:c>
      <x:c r="L7" s="26" t="str">
        <x:f>VLOOKUP(H7,Inputs!$A$7:$D$27,4,FALSE)</x:f>
        <x:v>E</x:v>
      </x:c>
    </x:row>
    <x:row r="8" ht="24" customHeight="1">
      <x:c r="A8" s="3" t="str">
        <x:v>SW</x:v>
      </x:c>
      <x:c r="B8" s="3" t="str">
        <x:v>AM</x:v>
      </x:c>
      <x:c r="C8" s="10" t="n">
        <x:f>C22</x:f>
        <x:v>4</x:v>
      </x:c>
      <x:c r="D8" s="10" t="n">
        <x:f>H22</x:f>
        <x:v>10000</x:v>
      </x:c>
      <x:c r="E8" s="3" t="n">
        <x:f>D34</x:f>
        <x:v>403.68000000000006</x:v>
      </x:c>
      <x:c r="F8" s="3" t="n">
        <x:f>D8+E8</x:f>
        <x:v>10403.68</x:v>
      </x:c>
      <x:c r="G8" s="3" t="n">
        <x:f>F8/C8</x:f>
        <x:v>2600.92</x:v>
      </x:c>
      <x:c r="H8" s="10" t="n">
        <x:f>ROUND(G8,-2)</x:f>
        <x:v>2600</x:v>
      </x:c>
      <x:c r="I8" s="10" t="n">
        <x:f>VLOOKUP(H8,Inputs!$A$7:$D$27,2,FALSE)</x:f>
        <x:v>1400</x:v>
      </x:c>
      <x:c r="J8" s="10" t="n">
        <x:f>I8*C8</x:f>
        <x:v>5600</x:v>
      </x:c>
      <x:c r="K8" s="10" t="n">
        <x:f>VLOOKUP(H8,Inputs!$A$7:$D$27,3,FALSE)</x:f>
        <x:v>32</x:v>
      </x:c>
      <x:c r="L8" s="27" t="str">
        <x:f>VLOOKUP(H8,Inputs!$A$7:$D$27,4,FALSE)</x:f>
        <x:v>F</x:v>
      </x:c>
    </x:row>
    <x:row r="9" ht="24" customHeight="1">
      <x:c r="A9" s="12" t="str">
        <x:v>NW</x:v>
      </x:c>
      <x:c r="B9" s="12" t="str">
        <x:v>AM</x:v>
      </x:c>
      <x:c r="C9" s="11" t="n">
        <x:f>C23</x:f>
        <x:v>5</x:v>
      </x:c>
      <x:c r="D9" s="11" t="n">
        <x:f>H23</x:f>
        <x:v>8000</x:v>
      </x:c>
      <x:c r="E9" s="12" t="n">
        <x:f>D35</x:f>
        <x:v>252.3</x:v>
      </x:c>
      <x:c r="F9" s="12" t="n">
        <x:f>D9+E9</x:f>
        <x:v>8252.3</x:v>
      </x:c>
      <x:c r="G9" s="12" t="n">
        <x:f>F9/C9</x:f>
        <x:v>1650.4599999999998</x:v>
      </x:c>
      <x:c r="H9" s="11" t="n">
        <x:f>ROUND(G9,-2)</x:f>
        <x:v>1700</x:v>
      </x:c>
      <x:c r="I9" s="11" t="n">
        <x:f>VLOOKUP(H9,Inputs!$A$7:$D$27,2,FALSE)</x:f>
        <x:v>1700</x:v>
      </x:c>
      <x:c r="J9" s="11" t="n">
        <x:f>I9*C9</x:f>
        <x:v>8500</x:v>
      </x:c>
      <x:c r="K9" s="11" t="n">
        <x:f>VLOOKUP(H9,Inputs!$A$7:$D$27,3,FALSE)</x:f>
        <x:v>53</x:v>
      </x:c>
      <x:c r="L9" s="26" t="str">
        <x:f>VLOOKUP(H9,Inputs!$A$7:$D$27,4,FALSE)</x:f>
        <x:v>D</x:v>
      </x:c>
    </x:row>
    <x:row r="10" ht="24" customHeight="1">
      <x:c r="A10" s="3" t="str">
        <x:v>NE</x:v>
      </x:c>
      <x:c r="B10" s="3" t="str">
        <x:v>PM</x:v>
      </x:c>
      <x:c r="C10" s="10" t="n">
        <x:f>C24</x:f>
        <x:v>6</x:v>
      </x:c>
      <x:c r="D10" s="10" t="n">
        <x:f>H24</x:f>
        <x:v>10200</x:v>
      </x:c>
      <x:c r="E10" s="3" t="n">
        <x:f>D36</x:f>
        <x:v>306</x:v>
      </x:c>
      <x:c r="F10" s="3" t="n">
        <x:f>D10+E10</x:f>
        <x:v>10506</x:v>
      </x:c>
      <x:c r="G10" s="3" t="n">
        <x:f>F10/C10</x:f>
        <x:v>1751</x:v>
      </x:c>
      <x:c r="H10" s="10" t="n">
        <x:f>ROUND(G10,-2)</x:f>
        <x:v>1800</x:v>
      </x:c>
      <x:c r="I10" s="10" t="n">
        <x:f>VLOOKUP(H10,Inputs!$A$7:$D$27,2,FALSE)</x:f>
        <x:v>1800</x:v>
      </x:c>
      <x:c r="J10" s="10" t="n">
        <x:f>I10*C10</x:f>
        <x:v>10800</x:v>
      </x:c>
      <x:c r="K10" s="10" t="n">
        <x:f>VLOOKUP(H10,Inputs!$A$7:$D$27,3,FALSE)</x:f>
        <x:v>52</x:v>
      </x:c>
      <x:c r="L10" s="27" t="str">
        <x:f>VLOOKUP(H10,Inputs!$A$7:$D$27,4,FALSE)</x:f>
        <x:v>D</x:v>
      </x:c>
    </x:row>
    <x:row r="11" ht="24" customHeight="1">
      <x:c r="A11" s="12" t="str">
        <x:v>SW</x:v>
      </x:c>
      <x:c r="B11" s="12" t="str">
        <x:v>PM</x:v>
      </x:c>
      <x:c r="C11" s="11" t="n">
        <x:f>C25</x:f>
        <x:v>4</x:v>
      </x:c>
      <x:c r="D11" s="11" t="n">
        <x:f>H25</x:f>
        <x:v>9600</x:v>
      </x:c>
      <x:c r="E11" s="12" t="n">
        <x:f>D37</x:f>
        <x:v>459</x:v>
      </x:c>
      <x:c r="F11" s="12" t="n">
        <x:f>D11+E11</x:f>
        <x:v>10059</x:v>
      </x:c>
      <x:c r="G11" s="12" t="n">
        <x:f>F11/C11</x:f>
        <x:v>2514.75</x:v>
      </x:c>
      <x:c r="H11" s="11" t="n">
        <x:f>ROUND(G11,-2)</x:f>
        <x:v>2500</x:v>
      </x:c>
      <x:c r="I11" s="11" t="n">
        <x:f>VLOOKUP(H11,Inputs!$A$7:$D$27,2,FALSE)</x:f>
        <x:v>1500</x:v>
      </x:c>
      <x:c r="J11" s="11" t="n">
        <x:f>I11*C11</x:f>
        <x:v>6000</x:v>
      </x:c>
      <x:c r="K11" s="11" t="n">
        <x:f>VLOOKUP(H11,Inputs!$A$7:$D$27,3,FALSE)</x:f>
        <x:v>35</x:v>
      </x:c>
      <x:c r="L11" s="26" t="str">
        <x:f>VLOOKUP(H11,Inputs!$A$7:$D$27,4,FALSE)</x:f>
        <x:v>F</x:v>
      </x:c>
    </x:row>
    <x:row r="12" ht="24" customHeight="1">
      <x:c r="A12" s="3" t="str">
        <x:v>NW</x:v>
      </x:c>
      <x:c r="B12" s="3" t="str">
        <x:v>PM</x:v>
      </x:c>
      <x:c r="C12" s="10" t="n">
        <x:f>C26</x:f>
        <x:v>5</x:v>
      </x:c>
      <x:c r="D12" s="10" t="n">
        <x:f>H26</x:f>
        <x:v>9000</x:v>
      </x:c>
      <x:c r="E12" s="3" t="n">
        <x:f>D38</x:f>
        <x:v>255</x:v>
      </x:c>
      <x:c r="F12" s="3" t="n">
        <x:f>D12+E12</x:f>
        <x:v>9255</x:v>
      </x:c>
      <x:c r="G12" s="3" t="n">
        <x:f>F12/C12</x:f>
        <x:v>1851</x:v>
      </x:c>
      <x:c r="H12" s="10" t="n">
        <x:f>ROUND(G12,-2)</x:f>
        <x:v>1900</x:v>
      </x:c>
      <x:c r="I12" s="10" t="n">
        <x:f>VLOOKUP(H12,Inputs!$A$7:$D$27,2,FALSE)</x:f>
        <x:v>1900</x:v>
      </x:c>
      <x:c r="J12" s="10" t="n">
        <x:f>I12*C12</x:f>
        <x:v>9500</x:v>
      </x:c>
      <x:c r="K12" s="10" t="n">
        <x:f>VLOOKUP(H12,Inputs!$A$7:$D$27,3,FALSE)</x:f>
        <x:v>51</x:v>
      </x:c>
      <x:c r="L12" s="27" t="str">
        <x:f>VLOOKUP(H12,Inputs!$A$7:$D$27,4,FALSE)</x:f>
        <x:v>E</x:v>
      </x:c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4" customHeight="1">
      <x:c r="A14" s="3" t="str">
        <x:v>Use actual total demand for trip and time calculations. Total flow uses the rounded Appendix A row.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4" customHeight="1">
      <x:c r="A15" s="3" t="str">
        <x:v>Rounding can make estimated flow slightly exceed unrounded demand on uncongested corridors.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4" customHeight="1">
      <x:c r="A16" s="3" t="str">
        <x:v>SW demand rises while flow and speed fall in both peaks, even though LOS remains F.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8" customHeight="1">
      <x:c r="A19" s="5" t="str">
        <x:v>Q1 Existing conditions and inferred demand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43" customHeight="1">
      <x:c r="A20" s="9" t="str">
        <x:v>Highway</x:v>
      </x:c>
      <x:c r="B20" s="9" t="str">
        <x:v>Period</x:v>
      </x:c>
      <x:c r="C20" s="9" t="str">
        <x:v>Lanes</x:v>
      </x:c>
      <x:c r="D20" s="9" t="str">
        <x:v>Observed total flow</x:v>
      </x:c>
      <x:c r="E20" s="9" t="str">
        <x:v>Flow / lane</x:v>
      </x:c>
      <x:c r="F20" s="9" t="str">
        <x:v>Speed</x:v>
      </x:c>
      <x:c r="G20" s="9" t="str">
        <x:v>Demand / lane</x:v>
      </x:c>
      <x:c r="H20" s="9" t="str">
        <x:v>Total demand</x:v>
      </x:c>
      <x:c r="I20" s="9" t="str">
        <x:v>LOS</x:v>
      </x:c>
      <x:c r="J20" s="3"/>
      <x:c r="K20" s="3"/>
      <x:c r="L20" s="3"/>
    </x:row>
    <x:row r="21" ht="24" customHeight="1">
      <x:c r="A21" s="12" t="str">
        <x:v>NE</x:v>
      </x:c>
      <x:c r="B21" s="12" t="str">
        <x:v>AM</x:v>
      </x:c>
      <x:c r="C21" s="11" t="n">
        <x:f>Inputs!B32</x:f>
        <x:v>6</x:v>
      </x:c>
      <x:c r="D21" s="11" t="n">
        <x:f>Inputs!C32</x:f>
        <x:v>10800</x:v>
      </x:c>
      <x:c r="E21" s="11" t="n">
        <x:f>D21/C21</x:f>
        <x:v>1800</x:v>
      </x:c>
      <x:c r="F21" s="11" t="n">
        <x:f>Inputs!D32</x:f>
        <x:v>52</x:v>
      </x:c>
      <x:c r="G21" s="11" t="n">
        <x:f>INDEX(Inputs!$A$7:$A$27,MATCH(F21,Inputs!$C$7:$C$27,0))</x:f>
        <x:v>1800</x:v>
      </x:c>
      <x:c r="H21" s="11" t="n">
        <x:f>G21*C21</x:f>
        <x:v>10800</x:v>
      </x:c>
      <x:c r="I21" s="26" t="str">
        <x:f>INDEX(Inputs!$D$7:$D$27,MATCH(F21,Inputs!$C$7:$C$27,0))</x:f>
        <x:v>D</x:v>
      </x:c>
      <x:c r="J21" s="3"/>
      <x:c r="K21" s="3"/>
      <x:c r="L21" s="3"/>
    </x:row>
    <x:row r="22" ht="24" customHeight="1">
      <x:c r="A22" s="3" t="str">
        <x:v>SW</x:v>
      </x:c>
      <x:c r="B22" s="3" t="str">
        <x:v>AM</x:v>
      </x:c>
      <x:c r="C22" s="10" t="n">
        <x:f>Inputs!B33</x:f>
        <x:v>4</x:v>
      </x:c>
      <x:c r="D22" s="10" t="n">
        <x:f>Inputs!C33</x:f>
        <x:v>6000</x:v>
      </x:c>
      <x:c r="E22" s="10" t="n">
        <x:f>D22/C22</x:f>
        <x:v>1500</x:v>
      </x:c>
      <x:c r="F22" s="10" t="n">
        <x:f>Inputs!D33</x:f>
        <x:v>35</x:v>
      </x:c>
      <x:c r="G22" s="10" t="n">
        <x:f>INDEX(Inputs!$A$7:$A$27,MATCH(F22,Inputs!$C$7:$C$27,0))</x:f>
        <x:v>2500</x:v>
      </x:c>
      <x:c r="H22" s="10" t="n">
        <x:f>G22*C22</x:f>
        <x:v>10000</x:v>
      </x:c>
      <x:c r="I22" s="27" t="str">
        <x:f>INDEX(Inputs!$D$7:$D$27,MATCH(F22,Inputs!$C$7:$C$27,0))</x:f>
        <x:v>F</x:v>
      </x:c>
      <x:c r="J22" s="3"/>
      <x:c r="K22" s="3"/>
      <x:c r="L22" s="3"/>
    </x:row>
    <x:row r="23" ht="24" customHeight="1">
      <x:c r="A23" s="12" t="str">
        <x:v>NW</x:v>
      </x:c>
      <x:c r="B23" s="12" t="str">
        <x:v>AM</x:v>
      </x:c>
      <x:c r="C23" s="11" t="n">
        <x:f>Inputs!B34</x:f>
        <x:v>5</x:v>
      </x:c>
      <x:c r="D23" s="11" t="n">
        <x:f>Inputs!C34</x:f>
        <x:v>8000</x:v>
      </x:c>
      <x:c r="E23" s="11" t="n">
        <x:f>D23/C23</x:f>
        <x:v>1600</x:v>
      </x:c>
      <x:c r="F23" s="11" t="n">
        <x:f>Inputs!D34</x:f>
        <x:v>54</x:v>
      </x:c>
      <x:c r="G23" s="11" t="n">
        <x:f>INDEX(Inputs!$A$7:$A$27,MATCH(F23,Inputs!$C$7:$C$27,0))</x:f>
        <x:v>1600</x:v>
      </x:c>
      <x:c r="H23" s="11" t="n">
        <x:f>G23*C23</x:f>
        <x:v>8000</x:v>
      </x:c>
      <x:c r="I23" s="26" t="str">
        <x:f>INDEX(Inputs!$D$7:$D$27,MATCH(F23,Inputs!$C$7:$C$27,0))</x:f>
        <x:v>D</x:v>
      </x:c>
      <x:c r="J23" s="3"/>
      <x:c r="K23" s="3"/>
      <x:c r="L23" s="3"/>
    </x:row>
    <x:row r="24" ht="24" customHeight="1">
      <x:c r="A24" s="3" t="str">
        <x:v>NE</x:v>
      </x:c>
      <x:c r="B24" s="3" t="str">
        <x:v>PM</x:v>
      </x:c>
      <x:c r="C24" s="10" t="n">
        <x:f>Inputs!B32</x:f>
        <x:v>6</x:v>
      </x:c>
      <x:c r="D24" s="10" t="n">
        <x:f>Inputs!E32</x:f>
        <x:v>10200</x:v>
      </x:c>
      <x:c r="E24" s="10" t="n">
        <x:f>D24/C24</x:f>
        <x:v>1700</x:v>
      </x:c>
      <x:c r="F24" s="10" t="n">
        <x:f>Inputs!F32</x:f>
        <x:v>53</x:v>
      </x:c>
      <x:c r="G24" s="10" t="n">
        <x:f>INDEX(Inputs!$A$7:$A$27,MATCH(F24,Inputs!$C$7:$C$27,0))</x:f>
        <x:v>1700</x:v>
      </x:c>
      <x:c r="H24" s="10" t="n">
        <x:f>G24*C24</x:f>
        <x:v>10200</x:v>
      </x:c>
      <x:c r="I24" s="27" t="str">
        <x:f>INDEX(Inputs!$D$7:$D$27,MATCH(F24,Inputs!$C$7:$C$27,0))</x:f>
        <x:v>D</x:v>
      </x:c>
      <x:c r="J24" s="3"/>
      <x:c r="K24" s="3"/>
      <x:c r="L24" s="3"/>
    </x:row>
    <x:row r="25" ht="24" customHeight="1">
      <x:c r="A25" s="12" t="str">
        <x:v>SW</x:v>
      </x:c>
      <x:c r="B25" s="12" t="str">
        <x:v>PM</x:v>
      </x:c>
      <x:c r="C25" s="11" t="n">
        <x:f>Inputs!B33</x:f>
        <x:v>4</x:v>
      </x:c>
      <x:c r="D25" s="11" t="n">
        <x:f>Inputs!E33</x:f>
        <x:v>6400</x:v>
      </x:c>
      <x:c r="E25" s="11" t="n">
        <x:f>D25/C25</x:f>
        <x:v>1600</x:v>
      </x:c>
      <x:c r="F25" s="11" t="n">
        <x:f>Inputs!F33</x:f>
        <x:v>39</x:v>
      </x:c>
      <x:c r="G25" s="11" t="n">
        <x:f>INDEX(Inputs!$A$7:$A$27,MATCH(F25,Inputs!$C$7:$C$27,0))</x:f>
        <x:v>2400</x:v>
      </x:c>
      <x:c r="H25" s="11" t="n">
        <x:f>G25*C25</x:f>
        <x:v>9600</x:v>
      </x:c>
      <x:c r="I25" s="26" t="str">
        <x:f>INDEX(Inputs!$D$7:$D$27,MATCH(F25,Inputs!$C$7:$C$27,0))</x:f>
        <x:v>F</x:v>
      </x:c>
      <x:c r="J25" s="3"/>
      <x:c r="K25" s="3"/>
      <x:c r="L25" s="3"/>
    </x:row>
    <x:row r="26" ht="24" customHeight="1">
      <x:c r="A26" s="3" t="str">
        <x:v>NW</x:v>
      </x:c>
      <x:c r="B26" s="3" t="str">
        <x:v>PM</x:v>
      </x:c>
      <x:c r="C26" s="10" t="n">
        <x:f>Inputs!B34</x:f>
        <x:v>5</x:v>
      </x:c>
      <x:c r="D26" s="10" t="n">
        <x:f>Inputs!E34</x:f>
        <x:v>9000</x:v>
      </x:c>
      <x:c r="E26" s="10" t="n">
        <x:f>D26/C26</x:f>
        <x:v>1800</x:v>
      </x:c>
      <x:c r="F26" s="10" t="n">
        <x:f>Inputs!F34</x:f>
        <x:v>52</x:v>
      </x:c>
      <x:c r="G26" s="10" t="n">
        <x:f>INDEX(Inputs!$A$7:$A$27,MATCH(F26,Inputs!$C$7:$C$27,0))</x:f>
        <x:v>1800</x:v>
      </x:c>
      <x:c r="H26" s="10" t="n">
        <x:f>G26*C26</x:f>
        <x:v>9000</x:v>
      </x:c>
      <x:c r="I26" s="27" t="str">
        <x:f>INDEX(Inputs!$D$7:$D$27,MATCH(F26,Inputs!$C$7:$C$27,0))</x:f>
        <x:v>D</x:v>
      </x:c>
      <x:c r="J26" s="3"/>
      <x:c r="K26" s="3"/>
      <x:c r="L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8" customHeight="1">
      <x:c r="A28" s="5" t="str">
        <x:v>Q2 and Q3 Trip generation and assignment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43" customHeight="1">
      <x:c r="A29" s="9" t="str">
        <x:v>Period</x:v>
      </x:c>
      <x:c r="B29" s="9" t="str">
        <x:v>All directions</x:v>
      </x:c>
      <x:c r="C29" s="9" t="str">
        <x:v>Peak share</x:v>
      </x:c>
      <x:c r="D29" s="9" t="str">
        <x:v>Peak direction trips</x:v>
      </x:c>
      <x:c r="E29" s="3"/>
      <x:c r="F29" s="3"/>
      <x:c r="G29" s="3"/>
      <x:c r="H29" s="3"/>
      <x:c r="I29" s="3"/>
      <x:c r="J29" s="3"/>
      <x:c r="K29" s="3"/>
      <x:c r="L29" s="3"/>
    </x:row>
    <x:row r="30" ht="24" customHeight="1">
      <x:c r="A30" s="3" t="str">
        <x:v>AM inbound</x:v>
      </x:c>
      <x:c r="B30" s="3" t="n">
        <x:f>Inputs!G7/Inputs!G8*Inputs!G9</x:f>
        <x:v>1160</x:v>
      </x:c>
      <x:c r="C30" s="15" t="n">
        <x:f>Inputs!G10</x:f>
        <x:v>0.87</x:v>
      </x:c>
      <x:c r="D30" s="3" t="n">
        <x:f>B30*C30</x:f>
        <x:v>1009.2</x:v>
      </x:c>
      <x:c r="E30" s="3"/>
      <x:c r="F30" s="3"/>
      <x:c r="G30" s="3"/>
      <x:c r="H30" s="3"/>
      <x:c r="I30" s="3"/>
      <x:c r="J30" s="3"/>
      <x:c r="K30" s="3"/>
      <x:c r="L30" s="3"/>
    </x:row>
    <x:row r="31" ht="24" customHeight="1">
      <x:c r="A31" s="3" t="str">
        <x:v>PM outbound</x:v>
      </x:c>
      <x:c r="B31" s="3" t="n">
        <x:f>Inputs!G7/Inputs!G8*Inputs!G11</x:f>
        <x:v>1200</x:v>
      </x:c>
      <x:c r="C31" s="15" t="n">
        <x:f>Inputs!G12</x:f>
        <x:v>0.85</x:v>
      </x:c>
      <x:c r="D31" s="3" t="n">
        <x:f>B31*C31</x:f>
        <x:v>1020</x:v>
      </x:c>
      <x:c r="E31" s="3"/>
      <x:c r="F31" s="3"/>
      <x:c r="G31" s="3"/>
      <x:c r="H31" s="3"/>
      <x:c r="I31" s="3"/>
      <x:c r="J31" s="3"/>
      <x:c r="K31" s="3"/>
      <x:c r="L31" s="3"/>
    </x:row>
    <x:row r="32" ht="43" customHeight="1">
      <x:c r="A32" s="9" t="str">
        <x:v>Highway</x:v>
      </x:c>
      <x:c r="B32" s="9" t="str">
        <x:v>Period</x:v>
      </x:c>
      <x:c r="C32" s="9" t="str">
        <x:v>Corridor share</x:v>
      </x:c>
      <x:c r="D32" s="9" t="str">
        <x:v>Assigned trips</x:v>
      </x:c>
      <x:c r="E32" s="3"/>
      <x:c r="F32" s="3"/>
      <x:c r="G32" s="3"/>
      <x:c r="H32" s="3"/>
      <x:c r="I32" s="3"/>
      <x:c r="J32" s="3"/>
      <x:c r="K32" s="3"/>
      <x:c r="L32" s="3"/>
    </x:row>
    <x:row r="33" ht="24" customHeight="1">
      <x:c r="A33" s="12" t="str">
        <x:v>NE</x:v>
      </x:c>
      <x:c r="B33" s="12" t="str">
        <x:v>AM</x:v>
      </x:c>
      <x:c r="C33" s="16" t="n">
        <x:f>Inputs!B39</x:f>
        <x:v>0.35</x:v>
      </x:c>
      <x:c r="D33" s="12" t="n">
        <x:f>C33*$D$30</x:f>
        <x:v>353.21999999999997</x:v>
      </x:c>
      <x:c r="E33" s="3"/>
      <x:c r="F33" s="3"/>
      <x:c r="G33" s="3"/>
      <x:c r="H33" s="3"/>
      <x:c r="I33" s="3"/>
      <x:c r="J33" s="3"/>
      <x:c r="K33" s="3"/>
      <x:c r="L33" s="3"/>
    </x:row>
    <x:row r="34" ht="24" customHeight="1">
      <x:c r="A34" s="3" t="str">
        <x:v>SW</x:v>
      </x:c>
      <x:c r="B34" s="3" t="str">
        <x:v>AM</x:v>
      </x:c>
      <x:c r="C34" s="15" t="n">
        <x:f>Inputs!C39</x:f>
        <x:v>0.4</x:v>
      </x:c>
      <x:c r="D34" s="3" t="n">
        <x:f>C34*$D$30</x:f>
        <x:v>403.68000000000006</x:v>
      </x:c>
      <x:c r="E34" s="3"/>
      <x:c r="F34" s="3"/>
      <x:c r="G34" s="3"/>
      <x:c r="H34" s="3"/>
      <x:c r="I34" s="3"/>
      <x:c r="J34" s="3"/>
      <x:c r="K34" s="3"/>
      <x:c r="L34" s="3"/>
    </x:row>
    <x:row r="35" ht="24" customHeight="1">
      <x:c r="A35" s="12" t="str">
        <x:v>NW</x:v>
      </x:c>
      <x:c r="B35" s="12" t="str">
        <x:v>AM</x:v>
      </x:c>
      <x:c r="C35" s="16" t="n">
        <x:f>Inputs!D39</x:f>
        <x:v>0.25</x:v>
      </x:c>
      <x:c r="D35" s="12" t="n">
        <x:f>C35*$D$30</x:f>
        <x:v>252.3</x:v>
      </x:c>
      <x:c r="E35" s="3"/>
      <x:c r="F35" s="3"/>
      <x:c r="G35" s="3"/>
      <x:c r="H35" s="3"/>
      <x:c r="I35" s="3"/>
      <x:c r="J35" s="3"/>
      <x:c r="K35" s="3"/>
      <x:c r="L35" s="3"/>
    </x:row>
    <x:row r="36" ht="24" customHeight="1">
      <x:c r="A36" s="3" t="str">
        <x:v>NE</x:v>
      </x:c>
      <x:c r="B36" s="3" t="str">
        <x:v>PM</x:v>
      </x:c>
      <x:c r="C36" s="15" t="n">
        <x:f>Inputs!B40</x:f>
        <x:v>0.3</x:v>
      </x:c>
      <x:c r="D36" s="3" t="n">
        <x:f>C36*$D$31</x:f>
        <x:v>306</x:v>
      </x:c>
      <x:c r="E36" s="3"/>
      <x:c r="F36" s="3"/>
      <x:c r="G36" s="3"/>
      <x:c r="H36" s="3"/>
      <x:c r="I36" s="3"/>
      <x:c r="J36" s="3"/>
      <x:c r="K36" s="3"/>
      <x:c r="L36" s="3"/>
    </x:row>
    <x:row r="37" ht="24" customHeight="1">
      <x:c r="A37" s="12" t="str">
        <x:v>SW</x:v>
      </x:c>
      <x:c r="B37" s="12" t="str">
        <x:v>PM</x:v>
      </x:c>
      <x:c r="C37" s="16" t="n">
        <x:f>Inputs!C40</x:f>
        <x:v>0.45</x:v>
      </x:c>
      <x:c r="D37" s="12" t="n">
        <x:f>C37*$D$31</x:f>
        <x:v>459</x:v>
      </x:c>
      <x:c r="E37" s="3"/>
      <x:c r="F37" s="3"/>
      <x:c r="G37" s="3"/>
      <x:c r="H37" s="3"/>
      <x:c r="I37" s="3"/>
      <x:c r="J37" s="3"/>
      <x:c r="K37" s="3"/>
      <x:c r="L37" s="3"/>
    </x:row>
    <x:row r="38" ht="24" customHeight="1">
      <x:c r="A38" s="3" t="str">
        <x:v>NW</x:v>
      </x:c>
      <x:c r="B38" s="3" t="str">
        <x:v>PM</x:v>
      </x:c>
      <x:c r="C38" s="15" t="n">
        <x:f>Inputs!D40</x:f>
        <x:v>0.25</x:v>
      </x:c>
      <x:c r="D38" s="3" t="n">
        <x:f>C38*$D$31</x:f>
        <x:v>255</x:v>
      </x:c>
      <x:c r="E38" s="3"/>
      <x:c r="F38" s="3"/>
      <x:c r="G38" s="3"/>
      <x:c r="H38" s="3"/>
      <x:c r="I38" s="3"/>
      <x:c r="J38" s="3"/>
      <x:c r="K38" s="3"/>
      <x:c r="L38" s="3"/>
    </x:row>
    <x:row r="39" ht="28" customHeight="1">
      <x:c r="A39" s="5" t="str">
        <x:v>Q5 Changes relative to existing conditions</x:v>
      </x:c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43" customHeight="1">
      <x:c r="A40" s="9" t="str">
        <x:v>Highway</x:v>
      </x:c>
      <x:c r="B40" s="9" t="str">
        <x:v>Period</x:v>
      </x:c>
      <x:c r="C40" s="9" t="str">
        <x:v>Old LOS</x:v>
      </x:c>
      <x:c r="D40" s="9" t="str">
        <x:v>New LOS</x:v>
      </x:c>
      <x:c r="E40" s="9" t="str">
        <x:v>Demand change</x:v>
      </x:c>
      <x:c r="F40" s="9" t="str">
        <x:v>Flow change</x:v>
      </x:c>
      <x:c r="G40" s="9" t="str">
        <x:v>Speed change</x:v>
      </x:c>
      <x:c r="H40" s="9" t="str">
        <x:v>Result</x:v>
      </x:c>
      <x:c r="I40" s="3"/>
      <x:c r="J40" s="3"/>
      <x:c r="K40" s="3"/>
      <x:c r="L40" s="3"/>
    </x:row>
    <x:row r="41" ht="34" customHeight="1">
      <x:c r="A41" s="12" t="str">
        <x:v>NE</x:v>
      </x:c>
      <x:c r="B41" s="12" t="str">
        <x:v>AM</x:v>
      </x:c>
      <x:c r="C41" s="26" t="str">
        <x:f>I21</x:f>
        <x:v>D</x:v>
      </x:c>
      <x:c r="D41" s="26" t="str">
        <x:f>L7</x:f>
        <x:v>E</x:v>
      </x:c>
      <x:c r="E41" s="12" t="n">
        <x:f>F7-H21</x:f>
        <x:v>353.21999999999935</x:v>
      </x:c>
      <x:c r="F41" s="17" t="n">
        <x:f>J7-D21</x:f>
        <x:v>600</x:v>
      </x:c>
      <x:c r="G41" s="17" t="n">
        <x:f>K7-F21</x:f>
        <x:v>-1</x:v>
      </x:c>
      <x:c r="H41" s="19" t="str">
        <x:f>IF(C41&lt;&gt;D41,"LOS worsens",IF(G41&lt;0,"Slower, same LOS","No speed change"))</x:f>
        <x:v>LOS worsens</x:v>
      </x:c>
      <x:c r="I41" s="3"/>
      <x:c r="J41" s="3"/>
      <x:c r="K41" s="3"/>
      <x:c r="L41" s="3"/>
    </x:row>
    <x:row r="42" ht="34" customHeight="1">
      <x:c r="A42" s="3" t="str">
        <x:v>SW</x:v>
      </x:c>
      <x:c r="B42" s="3" t="str">
        <x:v>AM</x:v>
      </x:c>
      <x:c r="C42" s="27" t="str">
        <x:f>I22</x:f>
        <x:v>F</x:v>
      </x:c>
      <x:c r="D42" s="27" t="str">
        <x:f>L8</x:f>
        <x:v>F</x:v>
      </x:c>
      <x:c r="E42" s="3" t="n">
        <x:f>F8-H22</x:f>
        <x:v>403.6800000000003</x:v>
      </x:c>
      <x:c r="F42" s="18" t="n">
        <x:f>J8-D22</x:f>
        <x:v>-400</x:v>
      </x:c>
      <x:c r="G42" s="18" t="n">
        <x:f>K8-F22</x:f>
        <x:v>-3</x:v>
      </x:c>
      <x:c r="H42" s="20" t="str">
        <x:f>IF(C42&lt;&gt;D42,"LOS worsens",IF(G42&lt;0,"Slower, same LOS","No speed change"))</x:f>
        <x:v>Slower, same LOS</x:v>
      </x:c>
      <x:c r="I42" s="3"/>
      <x:c r="J42" s="3"/>
      <x:c r="K42" s="3"/>
      <x:c r="L42" s="3"/>
    </x:row>
    <x:row r="43" ht="34" customHeight="1">
      <x:c r="A43" s="12" t="str">
        <x:v>NW</x:v>
      </x:c>
      <x:c r="B43" s="12" t="str">
        <x:v>AM</x:v>
      </x:c>
      <x:c r="C43" s="26" t="str">
        <x:f>I23</x:f>
        <x:v>D</x:v>
      </x:c>
      <x:c r="D43" s="26" t="str">
        <x:f>L9</x:f>
        <x:v>D</x:v>
      </x:c>
      <x:c r="E43" s="12" t="n">
        <x:f>F9-H23</x:f>
        <x:v>252.29999999999927</x:v>
      </x:c>
      <x:c r="F43" s="17" t="n">
        <x:f>J9-D23</x:f>
        <x:v>500</x:v>
      </x:c>
      <x:c r="G43" s="17" t="n">
        <x:f>K9-F23</x:f>
        <x:v>-1</x:v>
      </x:c>
      <x:c r="H43" s="19" t="str">
        <x:f>IF(C43&lt;&gt;D43,"LOS worsens",IF(G43&lt;0,"Slower, same LOS","No speed change"))</x:f>
        <x:v>Slower, same LOS</x:v>
      </x:c>
      <x:c r="I43" s="3"/>
      <x:c r="J43" s="3"/>
      <x:c r="K43" s="3"/>
      <x:c r="L43" s="3"/>
    </x:row>
    <x:row r="44" ht="34" customHeight="1">
      <x:c r="A44" s="3" t="str">
        <x:v>NE</x:v>
      </x:c>
      <x:c r="B44" s="3" t="str">
        <x:v>PM</x:v>
      </x:c>
      <x:c r="C44" s="27" t="str">
        <x:f>I24</x:f>
        <x:v>D</x:v>
      </x:c>
      <x:c r="D44" s="27" t="str">
        <x:f>L10</x:f>
        <x:v>D</x:v>
      </x:c>
      <x:c r="E44" s="3" t="n">
        <x:f>F10-H24</x:f>
        <x:v>306</x:v>
      </x:c>
      <x:c r="F44" s="18" t="n">
        <x:f>J10-D24</x:f>
        <x:v>600</x:v>
      </x:c>
      <x:c r="G44" s="18" t="n">
        <x:f>K10-F24</x:f>
        <x:v>-1</x:v>
      </x:c>
      <x:c r="H44" s="20" t="str">
        <x:f>IF(C44&lt;&gt;D44,"LOS worsens",IF(G44&lt;0,"Slower, same LOS","No speed change"))</x:f>
        <x:v>Slower, same LOS</x:v>
      </x:c>
      <x:c r="I44" s="3"/>
      <x:c r="J44" s="3"/>
      <x:c r="K44" s="3"/>
      <x:c r="L44" s="3"/>
    </x:row>
    <x:row r="45" ht="34" customHeight="1">
      <x:c r="A45" s="12" t="str">
        <x:v>SW</x:v>
      </x:c>
      <x:c r="B45" s="12" t="str">
        <x:v>PM</x:v>
      </x:c>
      <x:c r="C45" s="26" t="str">
        <x:f>I25</x:f>
        <x:v>F</x:v>
      </x:c>
      <x:c r="D45" s="26" t="str">
        <x:f>L11</x:f>
        <x:v>F</x:v>
      </x:c>
      <x:c r="E45" s="12" t="n">
        <x:f>F11-H25</x:f>
        <x:v>459</x:v>
      </x:c>
      <x:c r="F45" s="17" t="n">
        <x:f>J11-D25</x:f>
        <x:v>-400</x:v>
      </x:c>
      <x:c r="G45" s="17" t="n">
        <x:f>K11-F25</x:f>
        <x:v>-4</x:v>
      </x:c>
      <x:c r="H45" s="19" t="str">
        <x:f>IF(C45&lt;&gt;D45,"LOS worsens",IF(G45&lt;0,"Slower, same LOS","No speed change"))</x:f>
        <x:v>Slower, same LOS</x:v>
      </x:c>
      <x:c r="I45" s="3"/>
      <x:c r="J45" s="3"/>
      <x:c r="K45" s="3"/>
      <x:c r="L45" s="3"/>
    </x:row>
    <x:row r="46" ht="34" customHeight="1">
      <x:c r="A46" s="3" t="str">
        <x:v>NW</x:v>
      </x:c>
      <x:c r="B46" s="3" t="str">
        <x:v>PM</x:v>
      </x:c>
      <x:c r="C46" s="27" t="str">
        <x:f>I26</x:f>
        <x:v>D</x:v>
      </x:c>
      <x:c r="D46" s="27" t="str">
        <x:f>L12</x:f>
        <x:v>E</x:v>
      </x:c>
      <x:c r="E46" s="3" t="n">
        <x:f>F12-H26</x:f>
        <x:v>255</x:v>
      </x:c>
      <x:c r="F46" s="18" t="n">
        <x:f>J12-D26</x:f>
        <x:v>500</x:v>
      </x:c>
      <x:c r="G46" s="18" t="n">
        <x:f>K12-F26</x:f>
        <x:v>-1</x:v>
      </x:c>
      <x:c r="H46" s="20" t="str">
        <x:f>IF(C46&lt;&gt;D46,"LOS worsens",IF(G46&lt;0,"Slower, same LOS","No speed change"))</x:f>
        <x:v>LOS worsens</x:v>
      </x:c>
      <x:c r="I46" s="3"/>
      <x:c r="J46" s="3"/>
      <x:c r="K46" s="3"/>
      <x:c r="L46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E5A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4" t="str">
        <x:v>Southwest highway added lane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3" t="str">
        <x:v>Q7–Q10 compare post-development conditions with four lanes against five lanes. Demand is unchanged.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8" customHeight="1">
      <x:c r="A5" s="5" t="str">
        <x:v>Travel time savings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ht="24" customHeight="1">
      <x:c r="A6" s="13" t="str">
        <x:v>Daily vehicle-hours saved</x:v>
      </x:c>
      <x:c r="B6" s="3"/>
      <x:c r="C6" s="3"/>
      <x:c r="D6" s="13" t="n">
        <x:f>SUM(J23:J24)</x:f>
        <x:v>3113.4666666666667</x:v>
      </x:c>
      <x:c r="E6" s="3"/>
      <x:c r="F6" s="3"/>
      <x:c r="G6" s="3"/>
      <x:c r="H6" s="3"/>
      <x:c r="I6" s="3"/>
      <x:c r="J6" s="3"/>
    </x:row>
    <x:row r="7" ht="24" customHeight="1">
      <x:c r="A7" s="13" t="str">
        <x:v>Annual travel time value</x:v>
      </x:c>
      <x:c r="B7" s="3"/>
      <x:c r="C7" s="3"/>
      <x:c r="D7" s="21" t="n">
        <x:f>D6*Inputs!G17*Inputs!G18</x:f>
        <x:v>32691400</x:v>
      </x:c>
      <x:c r="E7" s="3"/>
      <x:c r="F7" s="3"/>
      <x:c r="G7" s="3"/>
      <x:c r="H7" s="3"/>
      <x:c r="I7" s="3"/>
      <x:c r="J7" s="3"/>
    </x:row>
    <x:row r="8" ht="24" customHeight="1">
      <x:c r="A8" s="13" t="str">
        <x:v>Ten-year savings</x:v>
      </x:c>
      <x:c r="B8" s="3"/>
      <x:c r="C8" s="3"/>
      <x:c r="D8" s="21" t="n">
        <x:f>D7*Inputs!G19</x:f>
        <x:v>326914000</x:v>
      </x:c>
      <x:c r="E8" s="3"/>
      <x:c r="F8" s="3"/>
      <x:c r="G8" s="3"/>
      <x:c r="H8" s="3"/>
      <x:c r="I8" s="3"/>
      <x:c r="J8" s="3"/>
    </x:row>
    <x:row r="9" ht="24" customHeight="1">
      <x:c r="A9" s="13" t="str">
        <x:v>Break-even cost per lane-mile</x:v>
      </x:c>
      <x:c r="B9" s="3"/>
      <x:c r="C9" s="3"/>
      <x:c r="D9" s="21" t="n">
        <x:f>D8/(Inputs!G13*Inputs!G14)</x:f>
        <x:v>40864250</x:v>
      </x:c>
      <x:c r="E9" s="3"/>
      <x:c r="F9" s="3"/>
      <x:c r="G9" s="3"/>
      <x:c r="H9" s="3"/>
      <x:c r="I9" s="3"/>
      <x:c r="J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8" customHeight="1">
      <x:c r="A12" s="5" t="str">
        <x:v>Q7 Speeds and total vehicle flows</x:v>
      </x:c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43" customHeight="1">
      <x:c r="A13" s="9" t="str">
        <x:v>Period</x:v>
      </x:c>
      <x:c r="B13" s="9" t="str">
        <x:v>Total demand</x:v>
      </x:c>
      <x:c r="C13" s="9" t="str">
        <x:v>Total lanes</x:v>
      </x:c>
      <x:c r="D13" s="9" t="str">
        <x:v>Demand / lane</x:v>
      </x:c>
      <x:c r="E13" s="9" t="str">
        <x:v>Rounded demand / lane</x:v>
      </x:c>
      <x:c r="F13" s="9" t="str">
        <x:v>Flow / lane</x:v>
      </x:c>
      <x:c r="G13" s="9" t="str">
        <x:v>Total flow</x:v>
      </x:c>
      <x:c r="H13" s="9" t="str">
        <x:v>Speed (mph)</x:v>
      </x:c>
      <x:c r="I13" s="9" t="str">
        <x:v>LOS</x:v>
      </x:c>
      <x:c r="J13" s="3"/>
    </x:row>
    <x:row r="14" ht="24" customHeight="1">
      <x:c r="A14" s="12" t="str">
        <x:v>AM</x:v>
      </x:c>
      <x:c r="B14" s="12" t="n">
        <x:f>'Traffic analysis'!F8</x:f>
        <x:v>10403.68</x:v>
      </x:c>
      <x:c r="C14" s="22" t="n">
        <x:f>'Traffic analysis'!C8+Inputs!$G$14</x:f>
        <x:v>5</x:v>
      </x:c>
      <x:c r="D14" s="12" t="n">
        <x:f>B14/C14</x:f>
        <x:v>2080.736</x:v>
      </x:c>
      <x:c r="E14" s="11" t="n">
        <x:f>ROUND(D14,-2)</x:f>
        <x:v>2100</x:v>
      </x:c>
      <x:c r="F14" s="11" t="n">
        <x:f>VLOOKUP(E14,Inputs!$A$7:$D$27,2,FALSE)</x:f>
        <x:v>1900</x:v>
      </x:c>
      <x:c r="G14" s="11" t="n">
        <x:f>F14*C14</x:f>
        <x:v>9500</x:v>
      </x:c>
      <x:c r="H14" s="11" t="n">
        <x:f>VLOOKUP(E14,Inputs!$A$7:$D$27,3,FALSE)</x:f>
        <x:v>48</x:v>
      </x:c>
      <x:c r="I14" s="26" t="str">
        <x:f>VLOOKUP(E14,Inputs!$A$7:$D$27,4,FALSE)</x:f>
        <x:v>F</x:v>
      </x:c>
      <x:c r="J14" s="3"/>
    </x:row>
    <x:row r="15" ht="24" customHeight="1">
      <x:c r="A15" s="3" t="str">
        <x:v>PM</x:v>
      </x:c>
      <x:c r="B15" s="3" t="n">
        <x:f>'Traffic analysis'!F11</x:f>
        <x:v>10059</x:v>
      </x:c>
      <x:c r="C15" s="23" t="n">
        <x:f>'Traffic analysis'!C11+Inputs!$G$14</x:f>
        <x:v>5</x:v>
      </x:c>
      <x:c r="D15" s="3" t="n">
        <x:f>B15/C15</x:f>
        <x:v>2011.8</x:v>
      </x:c>
      <x:c r="E15" s="10" t="n">
        <x:f>ROUND(D15,-2)</x:f>
        <x:v>2000</x:v>
      </x:c>
      <x:c r="F15" s="10" t="n">
        <x:f>VLOOKUP(E15,Inputs!$A$7:$D$27,2,FALSE)</x:f>
        <x:v>2000</x:v>
      </x:c>
      <x:c r="G15" s="10" t="n">
        <x:f>F15*C15</x:f>
        <x:v>10000</x:v>
      </x:c>
      <x:c r="H15" s="10" t="n">
        <x:f>VLOOKUP(E15,Inputs!$A$7:$D$27,3,FALSE)</x:f>
        <x:v>50</x:v>
      </x:c>
      <x:c r="I15" s="27" t="str">
        <x:f>VLOOKUP(E15,Inputs!$A$7:$D$27,4,FALSE)</x:f>
        <x:v>E</x:v>
      </x:c>
      <x:c r="J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4" customHeight="1">
      <x:c r="A17" s="3" t="str">
        <x:v>AM improves from 32 to 48 mph and 5,600 to 9,500 veh/h; PM from 35 to 50 mph and 6,000 to 10,000 veh/h.</x:v>
      </x:c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8" customHeight="1">
      <x:c r="A21" s="5" t="str">
        <x:v>Q8 Demand based travel time calculation</x:v>
      </x:c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43" customHeight="1">
      <x:c r="A22" s="9" t="str">
        <x:v>Period</x:v>
      </x:c>
      <x:c r="B22" s="9" t="str">
        <x:v>Demand (veh/h)</x:v>
      </x:c>
      <x:c r="C22" s="9" t="str">
        <x:v>Peak hours / day</x:v>
      </x:c>
      <x:c r="D22" s="9" t="str">
        <x:v>4-lane speed</x:v>
      </x:c>
      <x:c r="E22" s="9" t="str">
        <x:v>5-lane speed</x:v>
      </x:c>
      <x:c r="F22" s="9" t="str">
        <x:v>Before (hr/trip)</x:v>
      </x:c>
      <x:c r="G22" s="9" t="str">
        <x:v>After (hr/trip)</x:v>
      </x:c>
      <x:c r="H22" s="9" t="str">
        <x:v>Saved (hr/trip)</x:v>
      </x:c>
      <x:c r="I22" s="9" t="str">
        <x:v>Daily vehicles</x:v>
      </x:c>
      <x:c r="J22" s="9" t="str">
        <x:v>Saved (veh-hr/day)</x:v>
      </x:c>
    </x:row>
    <x:row r="23" ht="24" customHeight="1">
      <x:c r="A23" s="12" t="str">
        <x:v>AM</x:v>
      </x:c>
      <x:c r="B23" s="12" t="n">
        <x:f>B14</x:f>
        <x:v>10403.68</x:v>
      </x:c>
      <x:c r="C23" s="22" t="n">
        <x:f>Inputs!G15</x:f>
        <x:v>2</x:v>
      </x:c>
      <x:c r="D23" s="22" t="n">
        <x:f>'Traffic analysis'!K8</x:f>
        <x:v>32</x:v>
      </x:c>
      <x:c r="E23" s="22" t="n">
        <x:f>H14</x:f>
        <x:v>48</x:v>
      </x:c>
      <x:c r="F23" s="24" t="n">
        <x:f>Inputs!$G$13/D23</x:f>
        <x:v>0.25</x:v>
      </x:c>
      <x:c r="G23" s="24" t="n">
        <x:f>Inputs!$G$13/E23</x:f>
        <x:v>0.16666666666666666</x:v>
      </x:c>
      <x:c r="H23" s="24" t="n">
        <x:f>F23-G23</x:f>
        <x:v>0.08333333333333334</x:v>
      </x:c>
      <x:c r="I23" s="12" t="n">
        <x:f>B23*C23</x:f>
        <x:v>20807.36</x:v>
      </x:c>
      <x:c r="J23" s="12" t="n">
        <x:f>I23*H23</x:f>
        <x:v>1733.946666666667</x:v>
      </x:c>
    </x:row>
    <x:row r="24" ht="24" customHeight="1">
      <x:c r="A24" s="3" t="str">
        <x:v>PM</x:v>
      </x:c>
      <x:c r="B24" s="3" t="n">
        <x:f>B15</x:f>
        <x:v>10059</x:v>
      </x:c>
      <x:c r="C24" s="23" t="n">
        <x:f>Inputs!G16</x:f>
        <x:v>2</x:v>
      </x:c>
      <x:c r="D24" s="23" t="n">
        <x:f>'Traffic analysis'!K11</x:f>
        <x:v>35</x:v>
      </x:c>
      <x:c r="E24" s="23" t="n">
        <x:f>H15</x:f>
        <x:v>50</x:v>
      </x:c>
      <x:c r="F24" s="25" t="n">
        <x:f>Inputs!$G$13/D24</x:f>
        <x:v>0.22857142857142856</x:v>
      </x:c>
      <x:c r="G24" s="25" t="n">
        <x:f>Inputs!$G$13/E24</x:f>
        <x:v>0.16</x:v>
      </x:c>
      <x:c r="H24" s="25" t="n">
        <x:f>F24-G24</x:f>
        <x:v>0.06857142857142856</x:v>
      </x:c>
      <x:c r="I24" s="3" t="n">
        <x:f>B24*C24</x:f>
        <x:v>20118</x:v>
      </x:c>
      <x:c r="J24" s="3" t="n">
        <x:f>I24*H24</x:f>
        <x:v>1379.5199999999998</x:v>
      </x:c>
    </x:row>
    <x:row r="25" ht="24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24" customHeight="1">
      <x:c r="A26" s="3" t="str">
        <x:v>Time saved per trip = 8 / old speed − 8 / new speed. Daily savings = hourly demand × peak hours × time saved.</x:v>
      </x:c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24" customHeight="1">
      <x:c r="A27" s="3" t="str">
        <x:v>The 10-year comparison is undiscounted, as specified. The project adds 8 lane-miles.</x:v>
      </x:c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9BB7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5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4" t="str">
        <x:v>Assignment inputs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3" t="str">
        <x:v>Source: Assignment 3 Project evaluation part I.docx, scenario, Questions 2 and 7–10, and Appendices A–C.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8" customHeight="1">
      <x:c r="A5" s="5" t="str">
        <x:v>Appendix A per lane</x:v>
      </x:c>
      <x:c r="B5" s="3"/>
      <x:c r="C5" s="3"/>
      <x:c r="D5" s="3"/>
      <x:c r="E5" s="3"/>
      <x:c r="F5" s="13" t="str">
        <x:v>Scenario and valuation assumptions</x:v>
      </x:c>
      <x:c r="G5" s="3"/>
      <x:c r="H5" s="3"/>
      <x:c r="I5" s="3"/>
      <x:c r="J5" s="3"/>
    </x:row>
    <x:row r="6" ht="43" customHeight="1">
      <x:c r="A6" s="9" t="str">
        <x:v>Demand (veh/h)</x:v>
      </x:c>
      <x:c r="B6" s="9" t="str">
        <x:v>Flow (veh/h)</x:v>
      </x:c>
      <x:c r="C6" s="9" t="str">
        <x:v>Speed (mph)</x:v>
      </x:c>
      <x:c r="D6" s="9" t="str">
        <x:v>LOS</x:v>
      </x:c>
      <x:c r="E6" s="3"/>
      <x:c r="F6" s="28" t="str">
        <x:v>Input</x:v>
      </x:c>
      <x:c r="G6" s="28" t="str">
        <x:v>Value</x:v>
      </x:c>
      <x:c r="H6" s="28" t="str">
        <x:v>Unit</x:v>
      </x:c>
      <x:c r="I6" s="3"/>
      <x:c r="J6" s="3"/>
    </x:row>
    <x:row r="7" ht="24" customHeight="1">
      <x:c r="A7" s="11" t="n">
        <x:v>1000</x:v>
      </x:c>
      <x:c r="B7" s="11" t="n">
        <x:v>1000</x:v>
      </x:c>
      <x:c r="C7" s="11" t="n">
        <x:v>60</x:v>
      </x:c>
      <x:c r="D7" s="26" t="str">
        <x:v>C</x:v>
      </x:c>
      <x:c r="E7" s="3"/>
      <x:c r="F7" s="3" t="str">
        <x:v>Office area</x:v>
      </x:c>
      <x:c r="G7" s="3" t="n">
        <x:v>800000</x:v>
      </x:c>
      <x:c r="H7" s="3" t="str">
        <x:v>sq ft</x:v>
      </x:c>
      <x:c r="I7" s="3"/>
      <x:c r="J7" s="3"/>
    </x:row>
    <x:row r="8" ht="24" customHeight="1">
      <x:c r="A8" s="10" t="n">
        <x:v>1100</x:v>
      </x:c>
      <x:c r="B8" s="10" t="n">
        <x:v>1100</x:v>
      </x:c>
      <x:c r="C8" s="10" t="n">
        <x:v>59</x:v>
      </x:c>
      <x:c r="D8" s="27" t="str">
        <x:v>C</x:v>
      </x:c>
      <x:c r="E8" s="3"/>
      <x:c r="F8" s="3" t="str">
        <x:v>Trip rate area unit</x:v>
      </x:c>
      <x:c r="G8" s="3" t="n">
        <x:v>1000</x:v>
      </x:c>
      <x:c r="H8" s="3" t="str">
        <x:v>sq ft</x:v>
      </x:c>
      <x:c r="I8" s="3"/>
      <x:c r="J8" s="3"/>
    </x:row>
    <x:row r="9" ht="24" customHeight="1">
      <x:c r="A9" s="11" t="n">
        <x:v>1200</x:v>
      </x:c>
      <x:c r="B9" s="11" t="n">
        <x:v>1200</x:v>
      </x:c>
      <x:c r="C9" s="11" t="n">
        <x:v>58</x:v>
      </x:c>
      <x:c r="D9" s="26" t="str">
        <x:v>C</x:v>
      </x:c>
      <x:c r="E9" s="3"/>
      <x:c r="F9" s="3" t="str">
        <x:v>AM trip rate</x:v>
      </x:c>
      <x:c r="G9" s="3" t="n">
        <x:v>1.45</x:v>
      </x:c>
      <x:c r="H9" s="3" t="str">
        <x:v>trips / 1,000 sq ft</x:v>
      </x:c>
      <x:c r="I9" s="3"/>
      <x:c r="J9" s="3"/>
    </x:row>
    <x:row r="10" ht="24" customHeight="1">
      <x:c r="A10" s="10" t="n">
        <x:v>1300</x:v>
      </x:c>
      <x:c r="B10" s="10" t="n">
        <x:v>1300</x:v>
      </x:c>
      <x:c r="C10" s="10" t="n">
        <x:v>57</x:v>
      </x:c>
      <x:c r="D10" s="27" t="str">
        <x:v>C</x:v>
      </x:c>
      <x:c r="E10" s="3"/>
      <x:c r="F10" s="3" t="str">
        <x:v>AM inbound share</x:v>
      </x:c>
      <x:c r="G10" s="15" t="n">
        <x:v>0.87</x:v>
      </x:c>
      <x:c r="H10" s="3" t="str">
        <x:v>share</x:v>
      </x:c>
      <x:c r="I10" s="3"/>
      <x:c r="J10" s="3"/>
    </x:row>
    <x:row r="11" ht="24" customHeight="1">
      <x:c r="A11" s="11" t="n">
        <x:v>1400</x:v>
      </x:c>
      <x:c r="B11" s="11" t="n">
        <x:v>1400</x:v>
      </x:c>
      <x:c r="C11" s="11" t="n">
        <x:v>56</x:v>
      </x:c>
      <x:c r="D11" s="26" t="str">
        <x:v>C</x:v>
      </x:c>
      <x:c r="E11" s="3"/>
      <x:c r="F11" s="3" t="str">
        <x:v>PM trip rate</x:v>
      </x:c>
      <x:c r="G11" s="3" t="n">
        <x:v>1.5</x:v>
      </x:c>
      <x:c r="H11" s="3" t="str">
        <x:v>trips / 1,000 sq ft</x:v>
      </x:c>
      <x:c r="I11" s="3"/>
      <x:c r="J11" s="3"/>
    </x:row>
    <x:row r="12" ht="24" customHeight="1">
      <x:c r="A12" s="10" t="n">
        <x:v>1500</x:v>
      </x:c>
      <x:c r="B12" s="10" t="n">
        <x:v>1500</x:v>
      </x:c>
      <x:c r="C12" s="10" t="n">
        <x:v>55</x:v>
      </x:c>
      <x:c r="D12" s="27" t="str">
        <x:v>D</x:v>
      </x:c>
      <x:c r="E12" s="3"/>
      <x:c r="F12" s="3" t="str">
        <x:v>PM outbound share</x:v>
      </x:c>
      <x:c r="G12" s="15" t="n">
        <x:v>0.85</x:v>
      </x:c>
      <x:c r="H12" s="3" t="str">
        <x:v>share</x:v>
      </x:c>
      <x:c r="I12" s="3"/>
      <x:c r="J12" s="3"/>
    </x:row>
    <x:row r="13" ht="24" customHeight="1">
      <x:c r="A13" s="11" t="n">
        <x:v>1600</x:v>
      </x:c>
      <x:c r="B13" s="11" t="n">
        <x:v>1600</x:v>
      </x:c>
      <x:c r="C13" s="11" t="n">
        <x:v>54</x:v>
      </x:c>
      <x:c r="D13" s="26" t="str">
        <x:v>D</x:v>
      </x:c>
      <x:c r="E13" s="3"/>
      <x:c r="F13" s="3" t="str">
        <x:v>SW length</x:v>
      </x:c>
      <x:c r="G13" s="3" t="n">
        <x:v>8</x:v>
      </x:c>
      <x:c r="H13" s="3" t="str">
        <x:v>miles</x:v>
      </x:c>
      <x:c r="I13" s="3"/>
      <x:c r="J13" s="3"/>
    </x:row>
    <x:row r="14" ht="24" customHeight="1">
      <x:c r="A14" s="10" t="n">
        <x:v>1700</x:v>
      </x:c>
      <x:c r="B14" s="10" t="n">
        <x:v>1700</x:v>
      </x:c>
      <x:c r="C14" s="10" t="n">
        <x:v>53</x:v>
      </x:c>
      <x:c r="D14" s="27" t="str">
        <x:v>D</x:v>
      </x:c>
      <x:c r="E14" s="3"/>
      <x:c r="F14" s="3" t="str">
        <x:v>Added lanes</x:v>
      </x:c>
      <x:c r="G14" s="3" t="n">
        <x:v>1</x:v>
      </x:c>
      <x:c r="H14" s="3" t="str">
        <x:v>peak direction</x:v>
      </x:c>
      <x:c r="I14" s="3"/>
      <x:c r="J14" s="3"/>
    </x:row>
    <x:row r="15" ht="24" customHeight="1">
      <x:c r="A15" s="11" t="n">
        <x:v>1800</x:v>
      </x:c>
      <x:c r="B15" s="11" t="n">
        <x:v>1800</x:v>
      </x:c>
      <x:c r="C15" s="11" t="n">
        <x:v>52</x:v>
      </x:c>
      <x:c r="D15" s="26" t="str">
        <x:v>D</x:v>
      </x:c>
      <x:c r="E15" s="3"/>
      <x:c r="F15" s="3" t="str">
        <x:v>AM peak hours</x:v>
      </x:c>
      <x:c r="G15" s="3" t="n">
        <x:v>2</x:v>
      </x:c>
      <x:c r="H15" s="3" t="str">
        <x:v>hours / day</x:v>
      </x:c>
      <x:c r="I15" s="3"/>
      <x:c r="J15" s="3"/>
    </x:row>
    <x:row r="16" ht="24" customHeight="1">
      <x:c r="A16" s="10" t="n">
        <x:v>1900</x:v>
      </x:c>
      <x:c r="B16" s="10" t="n">
        <x:v>1900</x:v>
      </x:c>
      <x:c r="C16" s="10" t="n">
        <x:v>51</x:v>
      </x:c>
      <x:c r="D16" s="27" t="str">
        <x:v>E</x:v>
      </x:c>
      <x:c r="E16" s="3"/>
      <x:c r="F16" s="3" t="str">
        <x:v>PM peak hours</x:v>
      </x:c>
      <x:c r="G16" s="3" t="n">
        <x:v>2</x:v>
      </x:c>
      <x:c r="H16" s="3" t="str">
        <x:v>hours / day</x:v>
      </x:c>
      <x:c r="I16" s="3"/>
      <x:c r="J16" s="3"/>
    </x:row>
    <x:row r="17" ht="24" customHeight="1">
      <x:c r="A17" s="11" t="n">
        <x:v>2000</x:v>
      </x:c>
      <x:c r="B17" s="11" t="n">
        <x:v>2000</x:v>
      </x:c>
      <x:c r="C17" s="11" t="n">
        <x:v>50</x:v>
      </x:c>
      <x:c r="D17" s="26" t="str">
        <x:v>E</x:v>
      </x:c>
      <x:c r="E17" s="3"/>
      <x:c r="F17" s="3" t="str">
        <x:v>Value of time</x:v>
      </x:c>
      <x:c r="G17" s="3" t="n">
        <x:v>30</x:v>
      </x:c>
      <x:c r="H17" s="3" t="str">
        <x:v>USD / vehicle-hour</x:v>
      </x:c>
      <x:c r="I17" s="3"/>
      <x:c r="J17" s="3"/>
    </x:row>
    <x:row r="18" ht="24" customHeight="1">
      <x:c r="A18" s="10" t="n">
        <x:v>2100</x:v>
      </x:c>
      <x:c r="B18" s="10" t="n">
        <x:v>1900</x:v>
      </x:c>
      <x:c r="C18" s="10" t="n">
        <x:v>48</x:v>
      </x:c>
      <x:c r="D18" s="27" t="str">
        <x:v>F</x:v>
      </x:c>
      <x:c r="E18" s="3"/>
      <x:c r="F18" s="3" t="str">
        <x:v>Travel days</x:v>
      </x:c>
      <x:c r="G18" s="3" t="n">
        <x:v>350</x:v>
      </x:c>
      <x:c r="H18" s="3" t="str">
        <x:v>days / year</x:v>
      </x:c>
      <x:c r="I18" s="3"/>
      <x:c r="J18" s="3"/>
    </x:row>
    <x:row r="19" ht="24" customHeight="1">
      <x:c r="A19" s="11" t="n">
        <x:v>2200</x:v>
      </x:c>
      <x:c r="B19" s="11" t="n">
        <x:v>1800</x:v>
      </x:c>
      <x:c r="C19" s="11" t="n">
        <x:v>45</x:v>
      </x:c>
      <x:c r="D19" s="26" t="str">
        <x:v>F</x:v>
      </x:c>
      <x:c r="E19" s="3"/>
      <x:c r="F19" s="3" t="str">
        <x:v>Savings horizon</x:v>
      </x:c>
      <x:c r="G19" s="3" t="n">
        <x:v>10</x:v>
      </x:c>
      <x:c r="H19" s="3" t="str">
        <x:v>years</x:v>
      </x:c>
      <x:c r="I19" s="3"/>
      <x:c r="J19" s="3"/>
    </x:row>
    <x:row r="20" ht="24" customHeight="1">
      <x:c r="A20" s="10" t="n">
        <x:v>2300</x:v>
      </x:c>
      <x:c r="B20" s="10" t="n">
        <x:v>1700</x:v>
      </x:c>
      <x:c r="C20" s="10" t="n">
        <x:v>42</x:v>
      </x:c>
      <x:c r="D20" s="27" t="str">
        <x:v>F</x:v>
      </x:c>
      <x:c r="E20" s="3"/>
      <x:c r="F20" s="3"/>
      <x:c r="G20" s="3"/>
      <x:c r="H20" s="3"/>
      <x:c r="I20" s="3"/>
      <x:c r="J20" s="3"/>
    </x:row>
    <x:row r="21" ht="24" customHeight="1">
      <x:c r="A21" s="11" t="n">
        <x:v>2400</x:v>
      </x:c>
      <x:c r="B21" s="11" t="n">
        <x:v>1600</x:v>
      </x:c>
      <x:c r="C21" s="11" t="n">
        <x:v>39</x:v>
      </x:c>
      <x:c r="D21" s="26" t="str">
        <x:v>F</x:v>
      </x:c>
      <x:c r="E21" s="3"/>
      <x:c r="F21" s="3"/>
      <x:c r="G21" s="3"/>
      <x:c r="H21" s="3"/>
      <x:c r="I21" s="3"/>
      <x:c r="J21" s="3"/>
    </x:row>
    <x:row r="22" ht="24" customHeight="1">
      <x:c r="A22" s="10" t="n">
        <x:v>2500</x:v>
      </x:c>
      <x:c r="B22" s="10" t="n">
        <x:v>1500</x:v>
      </x:c>
      <x:c r="C22" s="10" t="n">
        <x:v>35</x:v>
      </x:c>
      <x:c r="D22" s="27" t="str">
        <x:v>F</x:v>
      </x:c>
      <x:c r="E22" s="3"/>
      <x:c r="F22" s="3" t="str">
        <x:v>No induced demand after the added lane.</x:v>
      </x:c>
      <x:c r="G22" s="3"/>
      <x:c r="H22" s="3"/>
      <x:c r="I22" s="3"/>
      <x:c r="J22" s="3"/>
    </x:row>
    <x:row r="23" ht="24" customHeight="1">
      <x:c r="A23" s="11" t="n">
        <x:v>2600</x:v>
      </x:c>
      <x:c r="B23" s="11" t="n">
        <x:v>1400</x:v>
      </x:c>
      <x:c r="C23" s="11" t="n">
        <x:v>32</x:v>
      </x:c>
      <x:c r="D23" s="26" t="str">
        <x:v>F</x:v>
      </x:c>
      <x:c r="E23" s="3"/>
      <x:c r="F23" s="3" t="str">
        <x:v>All SW trips travel 8 miles and eventually arrive.</x:v>
      </x:c>
      <x:c r="G23" s="3"/>
      <x:c r="H23" s="3"/>
      <x:c r="I23" s="3"/>
      <x:c r="J23" s="3"/>
    </x:row>
    <x:row r="24" ht="24" customHeight="1">
      <x:c r="A24" s="10" t="n">
        <x:v>2700</x:v>
      </x:c>
      <x:c r="B24" s="10" t="n">
        <x:v>1300</x:v>
      </x:c>
      <x:c r="C24" s="10" t="n">
        <x:v>29</x:v>
      </x:c>
      <x:c r="D24" s="27" t="str">
        <x:v>F</x:v>
      </x:c>
      <x:c r="E24" s="3"/>
      <x:c r="F24" s="3"/>
      <x:c r="G24" s="3"/>
      <x:c r="H24" s="3"/>
      <x:c r="I24" s="3"/>
      <x:c r="J24" s="3"/>
    </x:row>
    <x:row r="25" ht="24" customHeight="1">
      <x:c r="A25" s="11" t="n">
        <x:v>2800</x:v>
      </x:c>
      <x:c r="B25" s="11" t="n">
        <x:v>1200</x:v>
      </x:c>
      <x:c r="C25" s="11" t="n">
        <x:v>26</x:v>
      </x:c>
      <x:c r="D25" s="26" t="str">
        <x:v>F</x:v>
      </x:c>
      <x:c r="E25" s="3"/>
      <x:c r="F25" s="3" t="str">
        <x:v>Q10 refers to itself. Use Q9 annual savings × 10 ÷ 8.</x:v>
      </x:c>
      <x:c r="G25" s="3"/>
      <x:c r="H25" s="3"/>
      <x:c r="I25" s="3"/>
      <x:c r="J25" s="3"/>
    </x:row>
    <x:row r="26" ht="24" customHeight="1">
      <x:c r="A26" s="10" t="n">
        <x:v>2900</x:v>
      </x:c>
      <x:c r="B26" s="10" t="n">
        <x:v>1100</x:v>
      </x:c>
      <x:c r="C26" s="10" t="n">
        <x:v>23</x:v>
      </x:c>
      <x:c r="D26" s="27" t="str">
        <x:v>F</x:v>
      </x:c>
      <x:c r="E26" s="3"/>
      <x:c r="F26" s="3" t="str">
        <x:v>Retain trip fractions; round only demand/lane for lookup.</x:v>
      </x:c>
      <x:c r="G26" s="3"/>
      <x:c r="H26" s="3"/>
      <x:c r="I26" s="3"/>
      <x:c r="J26" s="3"/>
    </x:row>
    <x:row r="27" ht="24" customHeight="1">
      <x:c r="A27" s="11" t="n">
        <x:v>3000</x:v>
      </x:c>
      <x:c r="B27" s="11" t="n">
        <x:v>1000</x:v>
      </x:c>
      <x:c r="C27" s="11" t="n">
        <x:v>20</x:v>
      </x:c>
      <x:c r="D27" s="26" t="str">
        <x:v>F</x:v>
      </x:c>
      <x:c r="E27" s="3"/>
      <x:c r="F27" s="3"/>
      <x:c r="G27" s="3"/>
      <x:c r="H27" s="3"/>
      <x:c r="I27" s="3"/>
      <x:c r="J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8" customHeight="1">
      <x:c r="A30" s="5" t="str">
        <x:v>Appendix B existing conditions</x:v>
      </x:c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43" customHeight="1">
      <x:c r="A31" s="9" t="str">
        <x:v>Highway</x:v>
      </x:c>
      <x:c r="B31" s="9" t="str">
        <x:v>Lanes</x:v>
      </x:c>
      <x:c r="C31" s="9" t="str">
        <x:v>AM flow (veh/h)</x:v>
      </x:c>
      <x:c r="D31" s="9" t="str">
        <x:v>AM speed (mph)</x:v>
      </x:c>
      <x:c r="E31" s="9" t="str">
        <x:v>PM flow (veh/h)</x:v>
      </x:c>
      <x:c r="F31" s="9" t="str">
        <x:v>PM speed (mph)</x:v>
      </x:c>
      <x:c r="G31" s="3"/>
      <x:c r="H31" s="3"/>
      <x:c r="I31" s="3"/>
      <x:c r="J31" s="3"/>
    </x:row>
    <x:row r="32" ht="24" customHeight="1">
      <x:c r="A32" s="12" t="str">
        <x:v>NE</x:v>
      </x:c>
      <x:c r="B32" s="11" t="n">
        <x:v>6</x:v>
      </x:c>
      <x:c r="C32" s="11" t="n">
        <x:v>10800</x:v>
      </x:c>
      <x:c r="D32" s="11" t="n">
        <x:v>52</x:v>
      </x:c>
      <x:c r="E32" s="11" t="n">
        <x:v>10200</x:v>
      </x:c>
      <x:c r="F32" s="11" t="n">
        <x:v>53</x:v>
      </x:c>
      <x:c r="G32" s="3"/>
      <x:c r="H32" s="3"/>
      <x:c r="I32" s="3"/>
      <x:c r="J32" s="3"/>
    </x:row>
    <x:row r="33" ht="24" customHeight="1">
      <x:c r="A33" s="3" t="str">
        <x:v>SW</x:v>
      </x:c>
      <x:c r="B33" s="10" t="n">
        <x:v>4</x:v>
      </x:c>
      <x:c r="C33" s="10" t="n">
        <x:v>6000</x:v>
      </x:c>
      <x:c r="D33" s="10" t="n">
        <x:v>35</x:v>
      </x:c>
      <x:c r="E33" s="10" t="n">
        <x:v>6400</x:v>
      </x:c>
      <x:c r="F33" s="10" t="n">
        <x:v>39</x:v>
      </x:c>
      <x:c r="G33" s="3"/>
      <x:c r="H33" s="3"/>
      <x:c r="I33" s="3"/>
      <x:c r="J33" s="3"/>
    </x:row>
    <x:row r="34" ht="24" customHeight="1">
      <x:c r="A34" s="12" t="str">
        <x:v>NW</x:v>
      </x:c>
      <x:c r="B34" s="11" t="n">
        <x:v>5</x:v>
      </x:c>
      <x:c r="C34" s="11" t="n">
        <x:v>8000</x:v>
      </x:c>
      <x:c r="D34" s="11" t="n">
        <x:v>54</x:v>
      </x:c>
      <x:c r="E34" s="11" t="n">
        <x:v>9000</x:v>
      </x:c>
      <x:c r="F34" s="11" t="n">
        <x:v>52</x:v>
      </x:c>
      <x:c r="G34" s="3"/>
      <x:c r="H34" s="3"/>
      <x:c r="I34" s="3"/>
      <x:c r="J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28" customHeight="1">
      <x:c r="A37" s="5" t="str">
        <x:v>Appendix C shares of new peak direction trips</x:v>
      </x:c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43" customHeight="1">
      <x:c r="A38" s="9" t="str">
        <x:v>Period</x:v>
      </x:c>
      <x:c r="B38" s="9" t="str">
        <x:v>NE share</x:v>
      </x:c>
      <x:c r="C38" s="9" t="str">
        <x:v>SW share</x:v>
      </x:c>
      <x:c r="D38" s="9" t="str">
        <x:v>NW share</x:v>
      </x:c>
      <x:c r="E38" s="3"/>
      <x:c r="F38" s="3"/>
      <x:c r="G38" s="3"/>
      <x:c r="H38" s="3"/>
      <x:c r="I38" s="3"/>
      <x:c r="J38" s="3"/>
    </x:row>
    <x:row r="39" ht="24" customHeight="1">
      <x:c r="A39" s="12" t="str">
        <x:v>AM inbound</x:v>
      </x:c>
      <x:c r="B39" s="16" t="n">
        <x:v>0.35</x:v>
      </x:c>
      <x:c r="C39" s="16" t="n">
        <x:v>0.4</x:v>
      </x:c>
      <x:c r="D39" s="16" t="n">
        <x:v>0.25</x:v>
      </x:c>
      <x:c r="E39" s="3"/>
      <x:c r="F39" s="3"/>
      <x:c r="G39" s="3"/>
      <x:c r="H39" s="3"/>
      <x:c r="I39" s="3"/>
      <x:c r="J39" s="3"/>
    </x:row>
    <x:row r="40" ht="24" customHeight="1">
      <x:c r="A40" s="3" t="str">
        <x:v>PM outbound</x:v>
      </x:c>
      <x:c r="B40" s="15" t="n">
        <x:v>0.3</x:v>
      </x:c>
      <x:c r="C40" s="15" t="n">
        <x:v>0.45</x:v>
      </x:c>
      <x:c r="D40" s="15" t="n">
        <x:v>0.25</x:v>
      </x:c>
      <x:c r="E40" s="3"/>
      <x:c r="F40" s="3"/>
      <x:c r="G40" s="3"/>
      <x:c r="H40" s="3"/>
      <x:c r="I40" s="3"/>
      <x:c r="J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</x:sheetData>
  <x:pageMargins left="0.7" right="0.7" top="0.75" bottom="0.75" header="0.3" footer="0.3"/>
</x:worksheet>
</file>